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affd3206a55c40/문서/profile/"/>
    </mc:Choice>
  </mc:AlternateContent>
  <xr:revisionPtr revIDLastSave="2" documentId="8_{414D7B05-67AB-4E95-ADAB-94A1C36DC5F0}" xr6:coauthVersionLast="47" xr6:coauthVersionMax="47" xr10:uidLastSave="{0F0DCB0C-E04A-4E5C-9465-83DB2E8C2E1A}"/>
  <bookViews>
    <workbookView xWindow="-108" yWindow="-108" windowWidth="23256" windowHeight="12456" xr2:uid="{B74974D8-6F5B-4A50-9E1B-7FD8A6977BE9}"/>
  </bookViews>
  <sheets>
    <sheet name="2025" sheetId="1" r:id="rId1"/>
    <sheet name="2026" sheetId="3" r:id="rId2"/>
    <sheet name="자격증" sheetId="4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3" i="3" l="1"/>
  <c r="I46" i="1"/>
  <c r="I21" i="1"/>
  <c r="I37" i="1"/>
  <c r="I20" i="1"/>
  <c r="I14" i="1"/>
</calcChain>
</file>

<file path=xl/sharedStrings.xml><?xml version="1.0" encoding="utf-8"?>
<sst xmlns="http://schemas.openxmlformats.org/spreadsheetml/2006/main" count="330" uniqueCount="85">
  <si>
    <t>날짜</t>
    <phoneticPr fontId="2" type="noConversion"/>
  </si>
  <si>
    <t>장소</t>
    <phoneticPr fontId="2" type="noConversion"/>
  </si>
  <si>
    <t>내용</t>
    <phoneticPr fontId="2" type="noConversion"/>
  </si>
  <si>
    <t>시간(차시)</t>
    <phoneticPr fontId="2" type="noConversion"/>
  </si>
  <si>
    <t>업체</t>
    <phoneticPr fontId="2" type="noConversion"/>
  </si>
  <si>
    <t>금액</t>
    <phoneticPr fontId="2" type="noConversion"/>
  </si>
  <si>
    <t>지급여부</t>
    <phoneticPr fontId="2" type="noConversion"/>
  </si>
  <si>
    <t>영주고</t>
    <phoneticPr fontId="2" type="noConversion"/>
  </si>
  <si>
    <t>6차시</t>
    <phoneticPr fontId="2" type="noConversion"/>
  </si>
  <si>
    <t>에듀인</t>
    <phoneticPr fontId="2" type="noConversion"/>
  </si>
  <si>
    <t>o</t>
    <phoneticPr fontId="2" type="noConversion"/>
  </si>
  <si>
    <t>평대초</t>
    <phoneticPr fontId="2" type="noConversion"/>
  </si>
  <si>
    <t>디지털새싹(마이크로비트)</t>
    <phoneticPr fontId="2" type="noConversion"/>
  </si>
  <si>
    <t>독서코딩(핑퐁로봇)</t>
    <phoneticPr fontId="2" type="noConversion"/>
  </si>
  <si>
    <t>2차시</t>
    <phoneticPr fontId="2" type="noConversion"/>
  </si>
  <si>
    <t>x</t>
    <phoneticPr fontId="2" type="noConversion"/>
  </si>
  <si>
    <t>월랑초</t>
    <phoneticPr fontId="2" type="noConversion"/>
  </si>
  <si>
    <t>도리초</t>
    <phoneticPr fontId="2" type="noConversion"/>
  </si>
  <si>
    <t>하귀경로당</t>
    <phoneticPr fontId="2" type="noConversion"/>
  </si>
  <si>
    <t>찾아가는학교컨설팅</t>
    <phoneticPr fontId="2" type="noConversion"/>
  </si>
  <si>
    <t>찾아가는 디지털 문해교육</t>
    <phoneticPr fontId="2" type="noConversion"/>
  </si>
  <si>
    <t>3차시</t>
    <phoneticPr fontId="2" type="noConversion"/>
  </si>
  <si>
    <t>제주대</t>
    <phoneticPr fontId="2" type="noConversion"/>
  </si>
  <si>
    <t>재미에듀</t>
    <phoneticPr fontId="2" type="noConversion"/>
  </si>
  <si>
    <t>대신중</t>
    <phoneticPr fontId="2" type="noConversion"/>
  </si>
  <si>
    <t>경기대디지털새싹(마티)</t>
    <phoneticPr fontId="2" type="noConversion"/>
  </si>
  <si>
    <t>4차시</t>
    <phoneticPr fontId="2" type="noConversion"/>
  </si>
  <si>
    <t>와이즈</t>
    <phoneticPr fontId="2" type="noConversion"/>
  </si>
  <si>
    <t>지급날짜</t>
    <phoneticPr fontId="2" type="noConversion"/>
  </si>
  <si>
    <t>하귀휴먼경로당</t>
    <phoneticPr fontId="2" type="noConversion"/>
  </si>
  <si>
    <t>아라복지관</t>
    <phoneticPr fontId="2" type="noConversion"/>
  </si>
  <si>
    <t>도남경로당</t>
    <phoneticPr fontId="2" type="noConversion"/>
  </si>
  <si>
    <t>서귀포중</t>
    <phoneticPr fontId="2" type="noConversion"/>
  </si>
  <si>
    <t>경기대디지털새싹(알티노)</t>
    <phoneticPr fontId="2" type="noConversion"/>
  </si>
  <si>
    <t>교대부설초</t>
    <phoneticPr fontId="2" type="noConversion"/>
  </si>
  <si>
    <t>제주서중</t>
    <phoneticPr fontId="2" type="noConversion"/>
  </si>
  <si>
    <t>진로강의(고등시그널)</t>
    <phoneticPr fontId="2" type="noConversion"/>
  </si>
  <si>
    <t>중앙여중</t>
    <phoneticPr fontId="2" type="noConversion"/>
  </si>
  <si>
    <t>한림중</t>
    <phoneticPr fontId="2" type="noConversion"/>
  </si>
  <si>
    <t>진로강의(보조)</t>
    <phoneticPr fontId="2" type="noConversion"/>
  </si>
  <si>
    <t>제주고</t>
    <phoneticPr fontId="2" type="noConversion"/>
  </si>
  <si>
    <t>디지털새싹(스마트)</t>
    <phoneticPr fontId="2" type="noConversion"/>
  </si>
  <si>
    <t>동여중</t>
    <phoneticPr fontId="2" type="noConversion"/>
  </si>
  <si>
    <t>진로강의(체인지메이커)</t>
    <phoneticPr fontId="2" type="noConversion"/>
  </si>
  <si>
    <t>사대부중</t>
    <phoneticPr fontId="2" type="noConversion"/>
  </si>
  <si>
    <t>진로강의(AI)</t>
    <phoneticPr fontId="2" type="noConversion"/>
  </si>
  <si>
    <t>동중</t>
    <phoneticPr fontId="2" type="noConversion"/>
  </si>
  <si>
    <t>진로강의(메타버스)</t>
    <phoneticPr fontId="2" type="noConversion"/>
  </si>
  <si>
    <t>신성여중</t>
    <phoneticPr fontId="2" type="noConversion"/>
  </si>
  <si>
    <t>(진로)숏폼만들기</t>
    <phoneticPr fontId="2" type="noConversion"/>
  </si>
  <si>
    <t>서귀포여중</t>
    <phoneticPr fontId="2" type="noConversion"/>
  </si>
  <si>
    <t>찾아가는 학교컨설팅</t>
    <phoneticPr fontId="2" type="noConversion"/>
  </si>
  <si>
    <t>재주대</t>
    <phoneticPr fontId="2" type="noConversion"/>
  </si>
  <si>
    <t>화북초</t>
    <phoneticPr fontId="2" type="noConversion"/>
  </si>
  <si>
    <t>오현고</t>
    <phoneticPr fontId="2" type="noConversion"/>
  </si>
  <si>
    <t>신제주초</t>
    <phoneticPr fontId="2" type="noConversion"/>
  </si>
  <si>
    <t>세명기업</t>
    <phoneticPr fontId="2" type="noConversion"/>
  </si>
  <si>
    <t>한국표준협회 기업강의</t>
    <phoneticPr fontId="2" type="noConversion"/>
  </si>
  <si>
    <t>한국표준협회</t>
    <phoneticPr fontId="2" type="noConversion"/>
  </si>
  <si>
    <t>한국표준협회 AI활용강의</t>
    <phoneticPr fontId="2" type="noConversion"/>
  </si>
  <si>
    <t>찾아가는 학교컨설팅(캔바)</t>
    <phoneticPr fontId="2" type="noConversion"/>
  </si>
  <si>
    <t>찾아가는 학교컨설팅(AI활용)</t>
    <phoneticPr fontId="2" type="noConversion"/>
  </si>
  <si>
    <t>ITQ엑셀 A등급</t>
  </si>
  <si>
    <t>25년 12월</t>
  </si>
  <si>
    <t>한국 생산성본부</t>
  </si>
  <si>
    <t>캔바디지털콘텐츠강사 2급</t>
  </si>
  <si>
    <t>국제디지털콘텐츠협회</t>
  </si>
  <si>
    <t>25년 11월</t>
  </si>
  <si>
    <t>KT/한국경제신문</t>
  </si>
  <si>
    <t>구글공인 교육전문가 Lv.1</t>
  </si>
  <si>
    <t>25년 10월</t>
  </si>
  <si>
    <t>구글</t>
  </si>
  <si>
    <t>COS 1급(스크래치)</t>
  </si>
  <si>
    <t>25년 7월</t>
  </si>
  <si>
    <t>YBM IT</t>
  </si>
  <si>
    <t>메타버스(VR코딩)교육 1급</t>
  </si>
  <si>
    <t>25년 6월</t>
  </si>
  <si>
    <t>㈜헬로앱스</t>
  </si>
  <si>
    <t>3D프린팅펜지도사</t>
  </si>
  <si>
    <t>25년 5월</t>
  </si>
  <si>
    <t>3D프린팅펜창의융합교육협회</t>
  </si>
  <si>
    <t>AICE FUTURE 1급</t>
    <phoneticPr fontId="2" type="noConversion"/>
  </si>
  <si>
    <t>26년 1월</t>
    <phoneticPr fontId="2" type="noConversion"/>
  </si>
  <si>
    <t>구글공인 교육전문가 Lv.1/Lv.2</t>
    <phoneticPr fontId="2" type="noConversion"/>
  </si>
  <si>
    <t>AICE FUTURE 1급, 2급, 3급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</si>
</sst>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/mm/dd;@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휴먼명조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1" fontId="0" fillId="2" borderId="1" xfId="1" applyFont="1" applyFill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41" fontId="0" fillId="0" borderId="0" xfId="1" applyFont="1">
      <alignment vertical="center"/>
    </xf>
    <xf numFmtId="14" fontId="0" fillId="0" borderId="0" xfId="1" applyNumberFormat="1" applyFont="1">
      <alignment vertical="center"/>
    </xf>
    <xf numFmtId="41" fontId="0" fillId="0" borderId="0" xfId="0" applyNumberFormat="1">
      <alignment vertical="center"/>
    </xf>
    <xf numFmtId="176" fontId="0" fillId="0" borderId="1" xfId="0" applyNumberFormat="1" applyBorder="1">
      <alignment vertical="center"/>
    </xf>
    <xf numFmtId="41" fontId="0" fillId="0" borderId="1" xfId="1" applyFont="1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548640</xdr:colOff>
      <xdr:row>0</xdr:row>
      <xdr:rowOff>106680</xdr:rowOff>
    </xdr:from>
    <xdr:to>
      <xdr:col>6</xdr:col>
      <xdr:colOff>53340</xdr:colOff>
      <xdr:row>3</xdr:row>
      <xdr:rowOff>22860</xdr:rowOff>
    </xdr:to>
    <xdr:sp macro="" textlink="">
      <xdr:nvSpPr>
        <xdr:cNvPr id="2" name="배지 1">
          <a:extLst>
            <a:ext uri="{FF2B5EF4-FFF2-40B4-BE49-F238E27FC236}">
              <a16:creationId xmlns:a16="http://schemas.microsoft.com/office/drawing/2014/main" id="{72F3029A-5BA4-BFA9-2EF1-2370F4548AFE}"/>
            </a:ext>
          </a:extLst>
        </xdr:cNvPr>
        <xdr:cNvSpPr/>
      </xdr:nvSpPr>
      <xdr:spPr>
        <a:xfrm>
          <a:off x="548640" y="106680"/>
          <a:ext cx="5996940" cy="579120"/>
        </a:xfrm>
        <a:prstGeom prst="plaque">
          <a:avLst/>
        </a:prstGeom>
        <a:solidFill>
          <a:schemeClr val="accent4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/>
            <a:t>2025</a:t>
          </a:r>
          <a:r>
            <a:rPr lang="ko-KR" altLang="en-US" sz="2000" b="1"/>
            <a:t>년도 강사활동내역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548640</xdr:colOff>
      <xdr:row>0</xdr:row>
      <xdr:rowOff>106680</xdr:rowOff>
    </xdr:from>
    <xdr:to>
      <xdr:col>6</xdr:col>
      <xdr:colOff>53340</xdr:colOff>
      <xdr:row>3</xdr:row>
      <xdr:rowOff>22860</xdr:rowOff>
    </xdr:to>
    <xdr:sp macro="" textlink="">
      <xdr:nvSpPr>
        <xdr:cNvPr id="2" name="배지 1">
          <a:extLst>
            <a:ext uri="{FF2B5EF4-FFF2-40B4-BE49-F238E27FC236}">
              <a16:creationId xmlns:a16="http://schemas.microsoft.com/office/drawing/2014/main" id="{FE64187A-2DE3-4684-96E9-90A27BAB05BF}"/>
            </a:ext>
          </a:extLst>
        </xdr:cNvPr>
        <xdr:cNvSpPr/>
      </xdr:nvSpPr>
      <xdr:spPr>
        <a:xfrm>
          <a:off x="548640" y="106680"/>
          <a:ext cx="6271260" cy="579120"/>
        </a:xfrm>
        <a:prstGeom prst="plaque">
          <a:avLst/>
        </a:prstGeom>
        <a:solidFill>
          <a:schemeClr val="accent4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/>
            <a:t>2026</a:t>
          </a:r>
          <a:r>
            <a:rPr lang="ko-KR" altLang="en-US" sz="2000" b="1"/>
            <a:t>년도 강사활동내역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2D54-5649-4586-ACA2-948D228BCA00}">
  <sheetPr>
    <outlinePr summaryBelow="0"/>
  </sheetPr>
  <dimension ref="A5:M46"/>
  <sheetViews>
    <sheetView tabSelected="1" topLeftCell="A28" workbookViewId="0">
      <selection activeCell="A5" sqref="A5:H5"/>
    </sheetView>
  </sheetViews>
  <sheetFormatPr defaultRowHeight="17.399999999999999" x14ac:dyDescent="0.4"/>
  <cols>
    <col min="1" max="1" width="10.69921875" customWidth="1"/>
    <col min="2" max="2" width="15.19921875" customWidth="1"/>
    <col min="3" max="3" width="26.59765625" customWidth="1"/>
    <col min="4" max="4" width="8.8984375" customWidth="1"/>
    <col min="5" max="5" width="14.59765625" customWidth="1"/>
    <col min="6" max="6" width="12.796875" style="15" customWidth="1"/>
    <col min="7" max="7" width="10.8984375" style="22" customWidth="1"/>
    <col min="8" max="8" width="10.8984375" style="15" bestFit="1" customWidth="1"/>
    <col min="9" max="9" width="10.69921875" bestFit="1" customWidth="1"/>
    <col min="10" max="10" width="9.19921875" bestFit="1" customWidth="1"/>
    <col min="11" max="11" width="14.5" customWidth="1"/>
    <col min="12" max="12" width="13.8984375" customWidth="1"/>
    <col min="13" max="13" width="22.8984375" customWidth="1"/>
  </cols>
  <sheetData>
    <row r="5" spans="1:13" ht="20.399999999999999" customHeight="1" x14ac:dyDescent="0.4">
      <c r="A5" s="2">
        <v>202</v>
      </c>
      <c r="B5" s="2" t="s">
        <v>1</v>
      </c>
      <c r="C5" s="2" t="s">
        <v>2</v>
      </c>
      <c r="D5" s="2" t="s">
        <v>3</v>
      </c>
      <c r="E5" s="2" t="s">
        <v>4</v>
      </c>
      <c r="F5" s="10" t="s">
        <v>5</v>
      </c>
      <c r="G5" s="2" t="s">
        <v>6</v>
      </c>
      <c r="H5" s="15" t="s">
        <v>28</v>
      </c>
      <c r="K5" s="24">
        <v>45894</v>
      </c>
      <c r="L5" s="22" t="s">
        <v>7</v>
      </c>
      <c r="M5" s="22" t="s">
        <v>12</v>
      </c>
    </row>
    <row r="6" spans="1:13" ht="20.399999999999999" customHeight="1" x14ac:dyDescent="0.4">
      <c r="A6" s="3">
        <v>45894</v>
      </c>
      <c r="B6" s="1" t="s">
        <v>7</v>
      </c>
      <c r="C6" s="1" t="s">
        <v>12</v>
      </c>
      <c r="D6" s="1" t="s">
        <v>8</v>
      </c>
      <c r="E6" s="1" t="s">
        <v>9</v>
      </c>
      <c r="F6" s="11">
        <v>150000</v>
      </c>
      <c r="G6" s="1" t="s">
        <v>10</v>
      </c>
      <c r="K6" s="24">
        <v>45895</v>
      </c>
      <c r="L6" s="22" t="s">
        <v>7</v>
      </c>
      <c r="M6" s="22" t="s">
        <v>12</v>
      </c>
    </row>
    <row r="7" spans="1:13" ht="20.399999999999999" customHeight="1" thickBot="1" x14ac:dyDescent="0.45">
      <c r="A7" s="6">
        <v>45895</v>
      </c>
      <c r="B7" s="7" t="s">
        <v>7</v>
      </c>
      <c r="C7" s="7" t="s">
        <v>12</v>
      </c>
      <c r="D7" s="7" t="s">
        <v>8</v>
      </c>
      <c r="E7" s="7" t="s">
        <v>9</v>
      </c>
      <c r="F7" s="12">
        <v>150000</v>
      </c>
      <c r="G7" s="7" t="s">
        <v>10</v>
      </c>
      <c r="I7" s="15">
        <v>290000</v>
      </c>
      <c r="K7" s="24">
        <v>45943</v>
      </c>
      <c r="L7" s="22" t="s">
        <v>11</v>
      </c>
      <c r="M7" s="22" t="s">
        <v>13</v>
      </c>
    </row>
    <row r="8" spans="1:13" ht="20.399999999999999" customHeight="1" thickTop="1" x14ac:dyDescent="0.4">
      <c r="A8" s="8">
        <v>45943</v>
      </c>
      <c r="B8" s="9" t="s">
        <v>11</v>
      </c>
      <c r="C8" s="9" t="s">
        <v>13</v>
      </c>
      <c r="D8" s="9" t="s">
        <v>14</v>
      </c>
      <c r="E8" s="9" t="s">
        <v>9</v>
      </c>
      <c r="F8" s="13">
        <v>60000</v>
      </c>
      <c r="G8" s="9" t="s">
        <v>10</v>
      </c>
      <c r="H8" s="16">
        <v>45977</v>
      </c>
      <c r="K8" s="24">
        <v>45950</v>
      </c>
      <c r="L8" s="22" t="s">
        <v>11</v>
      </c>
      <c r="M8" s="22" t="s">
        <v>13</v>
      </c>
    </row>
    <row r="9" spans="1:13" ht="20.399999999999999" customHeight="1" x14ac:dyDescent="0.4">
      <c r="A9" s="3">
        <v>45950</v>
      </c>
      <c r="B9" s="1" t="s">
        <v>11</v>
      </c>
      <c r="C9" s="1" t="s">
        <v>13</v>
      </c>
      <c r="D9" s="1" t="s">
        <v>14</v>
      </c>
      <c r="E9" s="1" t="s">
        <v>9</v>
      </c>
      <c r="F9" s="11">
        <v>60000</v>
      </c>
      <c r="G9" s="1" t="s">
        <v>10</v>
      </c>
      <c r="H9" s="16">
        <v>45977</v>
      </c>
      <c r="K9" s="24">
        <v>45957</v>
      </c>
      <c r="L9" s="22" t="s">
        <v>11</v>
      </c>
      <c r="M9" s="22" t="s">
        <v>13</v>
      </c>
    </row>
    <row r="10" spans="1:13" ht="20.399999999999999" customHeight="1" thickBot="1" x14ac:dyDescent="0.45">
      <c r="A10" s="6">
        <v>45957</v>
      </c>
      <c r="B10" s="7" t="s">
        <v>11</v>
      </c>
      <c r="C10" s="7" t="s">
        <v>13</v>
      </c>
      <c r="D10" s="7" t="s">
        <v>14</v>
      </c>
      <c r="E10" s="7" t="s">
        <v>9</v>
      </c>
      <c r="F10" s="12">
        <v>60000</v>
      </c>
      <c r="G10" s="7" t="s">
        <v>10</v>
      </c>
      <c r="H10" s="16">
        <v>45977</v>
      </c>
      <c r="I10" s="15">
        <v>164160</v>
      </c>
      <c r="K10" s="24">
        <v>45972</v>
      </c>
      <c r="L10" s="22" t="s">
        <v>18</v>
      </c>
      <c r="M10" s="22" t="s">
        <v>20</v>
      </c>
    </row>
    <row r="11" spans="1:13" ht="20.399999999999999" customHeight="1" thickTop="1" x14ac:dyDescent="0.4">
      <c r="A11" s="4">
        <v>45968</v>
      </c>
      <c r="B11" s="5" t="s">
        <v>16</v>
      </c>
      <c r="C11" s="5" t="s">
        <v>19</v>
      </c>
      <c r="D11" s="5" t="s">
        <v>21</v>
      </c>
      <c r="E11" s="5" t="s">
        <v>22</v>
      </c>
      <c r="F11" s="14">
        <v>156000</v>
      </c>
      <c r="G11" s="5" t="s">
        <v>10</v>
      </c>
      <c r="H11" s="16">
        <v>45981</v>
      </c>
      <c r="K11" s="24">
        <v>45978</v>
      </c>
      <c r="L11" s="22" t="s">
        <v>16</v>
      </c>
      <c r="M11" s="22" t="s">
        <v>25</v>
      </c>
    </row>
    <row r="12" spans="1:13" ht="20.399999999999999" customHeight="1" x14ac:dyDescent="0.4">
      <c r="A12" s="3">
        <v>45971</v>
      </c>
      <c r="B12" s="1" t="s">
        <v>17</v>
      </c>
      <c r="C12" s="1" t="s">
        <v>19</v>
      </c>
      <c r="D12" s="1" t="s">
        <v>14</v>
      </c>
      <c r="E12" s="1" t="s">
        <v>22</v>
      </c>
      <c r="F12" s="11">
        <v>156000</v>
      </c>
      <c r="G12" s="1" t="s">
        <v>10</v>
      </c>
      <c r="H12" s="16">
        <v>45981</v>
      </c>
      <c r="K12" s="24">
        <v>45979</v>
      </c>
      <c r="L12" s="22" t="s">
        <v>16</v>
      </c>
      <c r="M12" s="22" t="s">
        <v>25</v>
      </c>
    </row>
    <row r="13" spans="1:13" ht="20.399999999999999" customHeight="1" x14ac:dyDescent="0.4">
      <c r="A13" s="3">
        <v>45972</v>
      </c>
      <c r="B13" s="1" t="s">
        <v>18</v>
      </c>
      <c r="C13" s="1" t="s">
        <v>20</v>
      </c>
      <c r="D13" s="1" t="s">
        <v>21</v>
      </c>
      <c r="E13" s="1" t="s">
        <v>23</v>
      </c>
      <c r="F13" s="11">
        <v>120000</v>
      </c>
      <c r="G13" s="1" t="s">
        <v>10</v>
      </c>
      <c r="H13" s="16">
        <v>46010</v>
      </c>
      <c r="K13" s="24">
        <v>45979</v>
      </c>
      <c r="L13" s="22" t="s">
        <v>29</v>
      </c>
      <c r="M13" s="22" t="s">
        <v>20</v>
      </c>
    </row>
    <row r="14" spans="1:13" ht="20.399999999999999" customHeight="1" x14ac:dyDescent="0.4">
      <c r="A14" s="3">
        <v>45973</v>
      </c>
      <c r="B14" s="1" t="s">
        <v>16</v>
      </c>
      <c r="C14" s="1" t="s">
        <v>19</v>
      </c>
      <c r="D14" s="1" t="s">
        <v>21</v>
      </c>
      <c r="E14" s="1" t="s">
        <v>22</v>
      </c>
      <c r="F14" s="11">
        <v>156000</v>
      </c>
      <c r="G14" s="1" t="s">
        <v>10</v>
      </c>
      <c r="H14" s="16">
        <v>45981</v>
      </c>
      <c r="I14" s="17">
        <f>SUM(F11:F12,F14)</f>
        <v>468000</v>
      </c>
      <c r="K14" s="24">
        <v>45980</v>
      </c>
      <c r="L14" s="22" t="s">
        <v>24</v>
      </c>
      <c r="M14" s="22" t="s">
        <v>12</v>
      </c>
    </row>
    <row r="15" spans="1:13" ht="20.399999999999999" customHeight="1" x14ac:dyDescent="0.4">
      <c r="A15" s="3">
        <v>45978</v>
      </c>
      <c r="B15" s="1" t="s">
        <v>16</v>
      </c>
      <c r="C15" s="1" t="s">
        <v>25</v>
      </c>
      <c r="D15" s="1" t="s">
        <v>21</v>
      </c>
      <c r="E15" s="1" t="s">
        <v>27</v>
      </c>
      <c r="F15" s="11">
        <v>90000</v>
      </c>
      <c r="G15" s="1" t="s">
        <v>10</v>
      </c>
      <c r="H15" s="16">
        <v>46044</v>
      </c>
      <c r="K15" s="24">
        <v>45981</v>
      </c>
      <c r="L15" s="22" t="s">
        <v>24</v>
      </c>
      <c r="M15" s="22" t="s">
        <v>12</v>
      </c>
    </row>
    <row r="16" spans="1:13" ht="20.399999999999999" customHeight="1" x14ac:dyDescent="0.4">
      <c r="A16" s="3">
        <v>45979</v>
      </c>
      <c r="B16" s="1" t="s">
        <v>16</v>
      </c>
      <c r="C16" s="1" t="s">
        <v>25</v>
      </c>
      <c r="D16" s="1" t="s">
        <v>21</v>
      </c>
      <c r="E16" s="1" t="s">
        <v>27</v>
      </c>
      <c r="F16" s="11">
        <v>90000</v>
      </c>
      <c r="G16" s="1" t="s">
        <v>10</v>
      </c>
      <c r="H16" s="16">
        <v>46044</v>
      </c>
      <c r="K16" s="24">
        <v>45992</v>
      </c>
      <c r="L16" s="22" t="s">
        <v>30</v>
      </c>
      <c r="M16" s="22" t="s">
        <v>20</v>
      </c>
    </row>
    <row r="17" spans="1:13" ht="20.399999999999999" customHeight="1" x14ac:dyDescent="0.4">
      <c r="A17" s="3">
        <v>45979</v>
      </c>
      <c r="B17" s="1" t="s">
        <v>29</v>
      </c>
      <c r="C17" s="1" t="s">
        <v>20</v>
      </c>
      <c r="D17" s="1" t="s">
        <v>14</v>
      </c>
      <c r="E17" s="1" t="s">
        <v>23</v>
      </c>
      <c r="F17" s="11">
        <v>80000</v>
      </c>
      <c r="G17" s="1" t="s">
        <v>10</v>
      </c>
      <c r="H17" s="16">
        <v>46010</v>
      </c>
      <c r="K17" s="25">
        <v>45993</v>
      </c>
      <c r="L17" s="22" t="s">
        <v>31</v>
      </c>
      <c r="M17" s="22" t="s">
        <v>20</v>
      </c>
    </row>
    <row r="18" spans="1:13" ht="20.399999999999999" customHeight="1" x14ac:dyDescent="0.4">
      <c r="A18" s="3">
        <v>45980</v>
      </c>
      <c r="B18" s="1" t="s">
        <v>24</v>
      </c>
      <c r="C18" s="1" t="s">
        <v>12</v>
      </c>
      <c r="D18" s="1" t="s">
        <v>26</v>
      </c>
      <c r="E18" s="1" t="s">
        <v>9</v>
      </c>
      <c r="F18" s="11">
        <v>180000</v>
      </c>
      <c r="G18" s="1" t="s">
        <v>10</v>
      </c>
      <c r="H18" s="16">
        <v>46014</v>
      </c>
      <c r="K18" s="24">
        <v>45995</v>
      </c>
      <c r="L18" s="22" t="s">
        <v>32</v>
      </c>
      <c r="M18" s="22" t="s">
        <v>33</v>
      </c>
    </row>
    <row r="19" spans="1:13" ht="20.399999999999999" customHeight="1" x14ac:dyDescent="0.4">
      <c r="A19" s="3">
        <v>45981</v>
      </c>
      <c r="B19" s="1" t="s">
        <v>24</v>
      </c>
      <c r="C19" s="1" t="s">
        <v>12</v>
      </c>
      <c r="D19" s="1" t="s">
        <v>26</v>
      </c>
      <c r="E19" s="1" t="s">
        <v>9</v>
      </c>
      <c r="F19" s="11">
        <v>180000</v>
      </c>
      <c r="G19" s="1" t="s">
        <v>10</v>
      </c>
      <c r="H19" s="16">
        <v>46014</v>
      </c>
      <c r="K19" s="24">
        <v>45996</v>
      </c>
      <c r="L19" s="22" t="s">
        <v>32</v>
      </c>
      <c r="M19" s="22" t="s">
        <v>33</v>
      </c>
    </row>
    <row r="20" spans="1:13" ht="20.399999999999999" customHeight="1" x14ac:dyDescent="0.4">
      <c r="A20" s="3"/>
      <c r="B20" s="1"/>
      <c r="C20" s="1"/>
      <c r="D20" s="1"/>
      <c r="E20" s="1"/>
      <c r="F20" s="11"/>
      <c r="G20" s="1"/>
      <c r="I20" s="17">
        <f>SUM(F11:F19)</f>
        <v>1208000</v>
      </c>
      <c r="K20" s="24">
        <v>45999</v>
      </c>
      <c r="L20" s="22" t="s">
        <v>30</v>
      </c>
      <c r="M20" s="22" t="s">
        <v>20</v>
      </c>
    </row>
    <row r="21" spans="1:13" ht="20.399999999999999" customHeight="1" x14ac:dyDescent="0.4">
      <c r="A21" s="3">
        <v>45992</v>
      </c>
      <c r="B21" s="1" t="s">
        <v>30</v>
      </c>
      <c r="C21" s="1" t="s">
        <v>20</v>
      </c>
      <c r="D21" s="1" t="s">
        <v>14</v>
      </c>
      <c r="E21" s="1" t="s">
        <v>23</v>
      </c>
      <c r="F21" s="11">
        <v>70000</v>
      </c>
      <c r="G21" s="1" t="s">
        <v>10</v>
      </c>
      <c r="H21" s="16">
        <v>46014</v>
      </c>
      <c r="I21" s="17">
        <f>SUM(F21,F22,F25,F26)</f>
        <v>350000</v>
      </c>
      <c r="K21" s="24">
        <v>46000</v>
      </c>
      <c r="L21" s="22" t="s">
        <v>31</v>
      </c>
      <c r="M21" s="22" t="s">
        <v>20</v>
      </c>
    </row>
    <row r="22" spans="1:13" x14ac:dyDescent="0.4">
      <c r="A22" s="18">
        <v>45993</v>
      </c>
      <c r="B22" s="1" t="s">
        <v>31</v>
      </c>
      <c r="C22" s="1" t="s">
        <v>20</v>
      </c>
      <c r="D22" s="1" t="s">
        <v>14</v>
      </c>
      <c r="E22" s="1" t="s">
        <v>23</v>
      </c>
      <c r="F22" s="19">
        <v>70000</v>
      </c>
      <c r="G22" s="1" t="s">
        <v>10</v>
      </c>
      <c r="H22" s="16">
        <v>46014</v>
      </c>
      <c r="K22" s="24">
        <v>46013</v>
      </c>
      <c r="L22" s="22" t="s">
        <v>40</v>
      </c>
      <c r="M22" s="22" t="s">
        <v>41</v>
      </c>
    </row>
    <row r="23" spans="1:13" ht="16.2" customHeight="1" x14ac:dyDescent="0.4">
      <c r="A23" s="21">
        <v>45995</v>
      </c>
      <c r="B23" s="1" t="s">
        <v>32</v>
      </c>
      <c r="C23" s="1" t="s">
        <v>33</v>
      </c>
      <c r="D23" s="1" t="s">
        <v>26</v>
      </c>
      <c r="E23" s="1" t="s">
        <v>27</v>
      </c>
      <c r="F23" s="19">
        <v>90000</v>
      </c>
      <c r="G23" s="1" t="s">
        <v>15</v>
      </c>
      <c r="K23" s="24">
        <v>46014</v>
      </c>
      <c r="L23" s="22" t="s">
        <v>40</v>
      </c>
      <c r="M23" s="22" t="s">
        <v>41</v>
      </c>
    </row>
    <row r="24" spans="1:13" x14ac:dyDescent="0.4">
      <c r="A24" s="21">
        <v>45996</v>
      </c>
      <c r="B24" s="1" t="s">
        <v>32</v>
      </c>
      <c r="C24" s="1" t="s">
        <v>33</v>
      </c>
      <c r="D24" s="1" t="s">
        <v>26</v>
      </c>
      <c r="E24" s="1" t="s">
        <v>27</v>
      </c>
      <c r="F24" s="19">
        <v>90000</v>
      </c>
      <c r="G24" s="1" t="s">
        <v>15</v>
      </c>
    </row>
    <row r="25" spans="1:13" x14ac:dyDescent="0.4">
      <c r="A25" s="21">
        <v>45999</v>
      </c>
      <c r="B25" s="1" t="s">
        <v>30</v>
      </c>
      <c r="C25" s="1" t="s">
        <v>20</v>
      </c>
      <c r="D25" s="1" t="s">
        <v>14</v>
      </c>
      <c r="E25" s="1" t="s">
        <v>23</v>
      </c>
      <c r="F25" s="19">
        <v>140000</v>
      </c>
      <c r="G25" s="1" t="s">
        <v>10</v>
      </c>
      <c r="H25" s="16">
        <v>46014</v>
      </c>
    </row>
    <row r="26" spans="1:13" x14ac:dyDescent="0.4">
      <c r="A26" s="21">
        <v>46000</v>
      </c>
      <c r="B26" s="1" t="s">
        <v>31</v>
      </c>
      <c r="C26" s="1" t="s">
        <v>20</v>
      </c>
      <c r="D26" s="1" t="s">
        <v>14</v>
      </c>
      <c r="E26" s="1" t="s">
        <v>23</v>
      </c>
      <c r="F26" s="19">
        <v>70000</v>
      </c>
      <c r="G26" s="1" t="s">
        <v>10</v>
      </c>
      <c r="H26" s="16">
        <v>46014</v>
      </c>
    </row>
    <row r="27" spans="1:13" x14ac:dyDescent="0.4">
      <c r="A27" s="21">
        <v>46000</v>
      </c>
      <c r="B27" s="1" t="s">
        <v>34</v>
      </c>
      <c r="C27" s="1" t="s">
        <v>19</v>
      </c>
      <c r="D27" s="1" t="s">
        <v>14</v>
      </c>
      <c r="E27" s="1" t="s">
        <v>22</v>
      </c>
      <c r="F27" s="19">
        <v>156000</v>
      </c>
      <c r="G27" s="1" t="s">
        <v>10</v>
      </c>
      <c r="H27" s="16">
        <v>46015</v>
      </c>
    </row>
    <row r="28" spans="1:13" x14ac:dyDescent="0.4">
      <c r="A28" s="21">
        <v>46003</v>
      </c>
      <c r="B28" s="1" t="s">
        <v>35</v>
      </c>
      <c r="C28" s="1" t="s">
        <v>36</v>
      </c>
      <c r="D28" s="1" t="s">
        <v>8</v>
      </c>
      <c r="E28" s="1" t="s">
        <v>9</v>
      </c>
      <c r="F28" s="19">
        <v>240000</v>
      </c>
      <c r="G28" s="1" t="s">
        <v>10</v>
      </c>
      <c r="H28" s="16">
        <v>46022</v>
      </c>
    </row>
    <row r="29" spans="1:13" x14ac:dyDescent="0.4">
      <c r="A29" s="21">
        <v>46006</v>
      </c>
      <c r="B29" s="1" t="s">
        <v>50</v>
      </c>
      <c r="C29" s="1" t="s">
        <v>39</v>
      </c>
      <c r="D29" s="1" t="s">
        <v>8</v>
      </c>
      <c r="E29" s="1" t="s">
        <v>9</v>
      </c>
      <c r="F29" s="19">
        <v>100000</v>
      </c>
      <c r="G29" s="1" t="s">
        <v>10</v>
      </c>
      <c r="H29" s="16">
        <v>46022</v>
      </c>
    </row>
    <row r="30" spans="1:13" x14ac:dyDescent="0.4">
      <c r="A30" s="21">
        <v>46007</v>
      </c>
      <c r="B30" s="1" t="s">
        <v>37</v>
      </c>
      <c r="C30" s="1" t="s">
        <v>39</v>
      </c>
      <c r="D30" s="1" t="s">
        <v>26</v>
      </c>
      <c r="E30" s="1" t="s">
        <v>9</v>
      </c>
      <c r="F30" s="19">
        <v>100000</v>
      </c>
      <c r="G30" s="1" t="s">
        <v>10</v>
      </c>
      <c r="H30" s="16">
        <v>46009</v>
      </c>
    </row>
    <row r="31" spans="1:13" x14ac:dyDescent="0.4">
      <c r="A31" s="21">
        <v>46009</v>
      </c>
      <c r="B31" s="1" t="s">
        <v>38</v>
      </c>
      <c r="C31" s="1" t="s">
        <v>36</v>
      </c>
      <c r="D31" s="1" t="s">
        <v>8</v>
      </c>
      <c r="E31" s="1" t="s">
        <v>9</v>
      </c>
      <c r="F31" s="19">
        <v>240000</v>
      </c>
      <c r="G31" s="1" t="s">
        <v>10</v>
      </c>
      <c r="H31" s="16">
        <v>46022</v>
      </c>
    </row>
    <row r="32" spans="1:13" x14ac:dyDescent="0.4">
      <c r="A32" s="21">
        <v>46013</v>
      </c>
      <c r="B32" s="1" t="s">
        <v>40</v>
      </c>
      <c r="C32" s="1" t="s">
        <v>41</v>
      </c>
      <c r="D32" s="20" t="s">
        <v>26</v>
      </c>
      <c r="E32" s="1" t="s">
        <v>9</v>
      </c>
      <c r="F32" s="19">
        <v>180000</v>
      </c>
      <c r="G32" s="1" t="s">
        <v>10</v>
      </c>
      <c r="H32" s="16">
        <v>46038</v>
      </c>
    </row>
    <row r="33" spans="1:9" x14ac:dyDescent="0.4">
      <c r="A33" s="21">
        <v>46014</v>
      </c>
      <c r="B33" s="1" t="s">
        <v>40</v>
      </c>
      <c r="C33" s="1" t="s">
        <v>41</v>
      </c>
      <c r="D33" s="20" t="s">
        <v>26</v>
      </c>
      <c r="E33" s="1" t="s">
        <v>9</v>
      </c>
      <c r="F33" s="19">
        <v>180000</v>
      </c>
      <c r="G33" s="1" t="s">
        <v>10</v>
      </c>
      <c r="H33" s="16">
        <v>46038</v>
      </c>
    </row>
    <row r="34" spans="1:9" x14ac:dyDescent="0.4">
      <c r="A34" s="21">
        <v>46015</v>
      </c>
      <c r="B34" s="1" t="s">
        <v>48</v>
      </c>
      <c r="C34" s="1" t="s">
        <v>49</v>
      </c>
      <c r="D34" s="20" t="s">
        <v>26</v>
      </c>
      <c r="E34" s="1" t="s">
        <v>9</v>
      </c>
      <c r="F34" s="19">
        <v>180000</v>
      </c>
      <c r="G34" s="1" t="s">
        <v>10</v>
      </c>
      <c r="H34" s="16">
        <v>46017</v>
      </c>
    </row>
    <row r="35" spans="1:9" x14ac:dyDescent="0.4">
      <c r="A35" s="21">
        <v>46017</v>
      </c>
      <c r="B35" s="1" t="s">
        <v>42</v>
      </c>
      <c r="C35" s="1" t="s">
        <v>43</v>
      </c>
      <c r="D35" s="1" t="s">
        <v>8</v>
      </c>
      <c r="E35" s="1" t="s">
        <v>9</v>
      </c>
      <c r="F35" s="19">
        <v>232000</v>
      </c>
      <c r="G35" s="1" t="s">
        <v>10</v>
      </c>
      <c r="H35" s="16">
        <v>46028</v>
      </c>
    </row>
    <row r="36" spans="1:9" x14ac:dyDescent="0.4">
      <c r="A36" s="21">
        <v>46020</v>
      </c>
      <c r="B36" s="1" t="s">
        <v>44</v>
      </c>
      <c r="C36" s="1" t="s">
        <v>45</v>
      </c>
      <c r="D36" s="1" t="s">
        <v>26</v>
      </c>
      <c r="E36" s="1" t="s">
        <v>9</v>
      </c>
      <c r="F36" s="19">
        <v>160000</v>
      </c>
      <c r="G36" s="1" t="s">
        <v>10</v>
      </c>
      <c r="H36" s="16">
        <v>46028</v>
      </c>
    </row>
    <row r="37" spans="1:9" x14ac:dyDescent="0.4">
      <c r="A37" s="21">
        <v>46021</v>
      </c>
      <c r="B37" s="1" t="s">
        <v>46</v>
      </c>
      <c r="C37" s="1" t="s">
        <v>47</v>
      </c>
      <c r="D37" s="20" t="s">
        <v>21</v>
      </c>
      <c r="E37" s="1" t="s">
        <v>9</v>
      </c>
      <c r="F37" s="19">
        <v>120000</v>
      </c>
      <c r="G37" s="1" t="s">
        <v>10</v>
      </c>
      <c r="H37" s="16">
        <v>46028</v>
      </c>
      <c r="I37" s="17">
        <f>SUM(F21:F37)</f>
        <v>2418000</v>
      </c>
    </row>
    <row r="39" spans="1:9" x14ac:dyDescent="0.4">
      <c r="A39" s="23">
        <v>46031</v>
      </c>
      <c r="B39" s="22" t="s">
        <v>34</v>
      </c>
      <c r="C39" s="22" t="s">
        <v>51</v>
      </c>
      <c r="D39">
        <v>2</v>
      </c>
      <c r="E39" s="22" t="s">
        <v>52</v>
      </c>
      <c r="F39" s="15">
        <v>156000</v>
      </c>
      <c r="G39" s="22" t="s">
        <v>10</v>
      </c>
      <c r="H39" s="16">
        <v>46045</v>
      </c>
    </row>
    <row r="40" spans="1:9" x14ac:dyDescent="0.4">
      <c r="A40" s="23">
        <v>46034</v>
      </c>
      <c r="B40" s="22" t="s">
        <v>34</v>
      </c>
      <c r="C40" s="22" t="s">
        <v>51</v>
      </c>
      <c r="D40">
        <v>3</v>
      </c>
      <c r="E40" s="22" t="s">
        <v>22</v>
      </c>
      <c r="F40" s="15">
        <v>156000</v>
      </c>
      <c r="G40" s="22" t="s">
        <v>10</v>
      </c>
      <c r="H40" s="16">
        <v>46045</v>
      </c>
    </row>
    <row r="41" spans="1:9" x14ac:dyDescent="0.4">
      <c r="C41" s="22"/>
    </row>
    <row r="42" spans="1:9" x14ac:dyDescent="0.4">
      <c r="A42" s="23">
        <v>46063</v>
      </c>
      <c r="B42" s="22" t="s">
        <v>53</v>
      </c>
      <c r="C42" s="22" t="s">
        <v>51</v>
      </c>
      <c r="E42" s="22" t="s">
        <v>22</v>
      </c>
      <c r="F42" s="15">
        <v>156000</v>
      </c>
    </row>
    <row r="43" spans="1:9" x14ac:dyDescent="0.4">
      <c r="A43" s="23">
        <v>46064</v>
      </c>
      <c r="B43" s="22" t="s">
        <v>54</v>
      </c>
      <c r="C43" s="22" t="s">
        <v>51</v>
      </c>
      <c r="E43" s="22" t="s">
        <v>22</v>
      </c>
      <c r="F43" s="15">
        <v>156000</v>
      </c>
    </row>
    <row r="44" spans="1:9" x14ac:dyDescent="0.4">
      <c r="A44" s="23">
        <v>46065</v>
      </c>
      <c r="B44" s="22" t="s">
        <v>55</v>
      </c>
      <c r="C44" s="22" t="s">
        <v>51</v>
      </c>
      <c r="E44" s="22" t="s">
        <v>22</v>
      </c>
      <c r="F44" s="15">
        <v>156000</v>
      </c>
    </row>
    <row r="45" spans="1:9" x14ac:dyDescent="0.4">
      <c r="A45" s="23">
        <v>46066</v>
      </c>
      <c r="B45" s="22" t="s">
        <v>34</v>
      </c>
      <c r="C45" s="22" t="s">
        <v>51</v>
      </c>
      <c r="E45" s="22" t="s">
        <v>22</v>
      </c>
      <c r="F45" s="15">
        <v>156000</v>
      </c>
    </row>
    <row r="46" spans="1:9" x14ac:dyDescent="0.4">
      <c r="A46" s="23">
        <v>46077</v>
      </c>
      <c r="B46" s="22" t="s">
        <v>56</v>
      </c>
      <c r="C46" s="22" t="s">
        <v>57</v>
      </c>
      <c r="E46" s="22" t="s">
        <v>58</v>
      </c>
      <c r="F46" s="15">
        <v>380000</v>
      </c>
      <c r="I46" s="17">
        <f>SUM(F39:F46)</f>
        <v>1316000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I20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4BB32-9D00-4D39-B38C-E582EAF29282}">
  <dimension ref="A1:I13"/>
  <sheetViews>
    <sheetView workbookViewId="0">
      <selection activeCell="C19" sqref="C19"/>
    </sheetView>
  </sheetViews>
  <sheetFormatPr defaultRowHeight="17.399999999999999" x14ac:dyDescent="0.4"/>
  <cols>
    <col min="1" max="1" width="12.296875" customWidth="1"/>
    <col min="2" max="2" width="12.8984375" customWidth="1"/>
    <col min="3" max="3" width="23.8984375" bestFit="1" customWidth="1"/>
    <col min="5" max="5" width="13" customWidth="1"/>
    <col min="6" max="6" width="10.59765625" customWidth="1"/>
    <col min="8" max="8" width="11.796875" customWidth="1"/>
    <col min="9" max="9" width="12" customWidth="1"/>
  </cols>
  <sheetData>
    <row r="1" spans="1:9" x14ac:dyDescent="0.4">
      <c r="F1" s="15"/>
      <c r="G1" s="22"/>
      <c r="H1" s="15"/>
    </row>
    <row r="2" spans="1:9" x14ac:dyDescent="0.4">
      <c r="F2" s="15"/>
      <c r="G2" s="22"/>
      <c r="H2" s="15"/>
    </row>
    <row r="3" spans="1:9" x14ac:dyDescent="0.4">
      <c r="F3" s="15"/>
      <c r="G3" s="22"/>
      <c r="H3" s="15"/>
    </row>
    <row r="5" spans="1:9" x14ac:dyDescent="0.4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10" t="s">
        <v>5</v>
      </c>
      <c r="G5" s="2" t="s">
        <v>6</v>
      </c>
      <c r="H5" s="15" t="s">
        <v>28</v>
      </c>
    </row>
    <row r="6" spans="1:9" x14ac:dyDescent="0.4">
      <c r="A6" s="23">
        <v>46031</v>
      </c>
      <c r="B6" s="22" t="s">
        <v>34</v>
      </c>
      <c r="C6" s="22" t="s">
        <v>60</v>
      </c>
      <c r="D6">
        <v>2</v>
      </c>
      <c r="E6" s="22" t="s">
        <v>52</v>
      </c>
      <c r="F6" s="15">
        <v>156000</v>
      </c>
      <c r="G6" s="22" t="s">
        <v>10</v>
      </c>
      <c r="H6" s="16">
        <v>46045</v>
      </c>
    </row>
    <row r="7" spans="1:9" x14ac:dyDescent="0.4">
      <c r="A7" s="23">
        <v>46034</v>
      </c>
      <c r="B7" s="22" t="s">
        <v>34</v>
      </c>
      <c r="C7" s="22" t="s">
        <v>60</v>
      </c>
      <c r="D7">
        <v>3</v>
      </c>
      <c r="E7" s="22" t="s">
        <v>22</v>
      </c>
      <c r="F7" s="15">
        <v>156000</v>
      </c>
      <c r="G7" s="22" t="s">
        <v>10</v>
      </c>
      <c r="H7" s="16">
        <v>46045</v>
      </c>
    </row>
    <row r="8" spans="1:9" x14ac:dyDescent="0.4">
      <c r="C8" s="22"/>
      <c r="F8" s="15"/>
      <c r="G8" s="22"/>
      <c r="H8" s="15"/>
    </row>
    <row r="9" spans="1:9" x14ac:dyDescent="0.4">
      <c r="A9" s="23">
        <v>46063</v>
      </c>
      <c r="B9" s="22" t="s">
        <v>53</v>
      </c>
      <c r="C9" s="22" t="s">
        <v>61</v>
      </c>
      <c r="E9" s="22" t="s">
        <v>22</v>
      </c>
      <c r="F9" s="15">
        <v>156000</v>
      </c>
      <c r="G9" s="22"/>
      <c r="H9" s="15"/>
    </row>
    <row r="10" spans="1:9" x14ac:dyDescent="0.4">
      <c r="A10" s="23">
        <v>46064</v>
      </c>
      <c r="B10" s="22" t="s">
        <v>54</v>
      </c>
      <c r="C10" s="22" t="s">
        <v>61</v>
      </c>
      <c r="E10" s="22" t="s">
        <v>22</v>
      </c>
      <c r="F10" s="15">
        <v>156000</v>
      </c>
      <c r="G10" s="22"/>
      <c r="H10" s="15"/>
    </row>
    <row r="11" spans="1:9" x14ac:dyDescent="0.4">
      <c r="A11" s="23">
        <v>46065</v>
      </c>
      <c r="B11" s="22" t="s">
        <v>55</v>
      </c>
      <c r="C11" s="22" t="s">
        <v>61</v>
      </c>
      <c r="E11" s="22" t="s">
        <v>22</v>
      </c>
      <c r="F11" s="15">
        <v>156000</v>
      </c>
      <c r="G11" s="22"/>
      <c r="H11" s="15"/>
    </row>
    <row r="12" spans="1:9" x14ac:dyDescent="0.4">
      <c r="A12" s="23">
        <v>46066</v>
      </c>
      <c r="B12" s="22" t="s">
        <v>34</v>
      </c>
      <c r="C12" s="22" t="s">
        <v>61</v>
      </c>
      <c r="E12" s="22" t="s">
        <v>22</v>
      </c>
      <c r="F12" s="15">
        <v>156000</v>
      </c>
      <c r="G12" s="22"/>
      <c r="H12" s="15"/>
    </row>
    <row r="13" spans="1:9" x14ac:dyDescent="0.4">
      <c r="A13" s="23">
        <v>46077</v>
      </c>
      <c r="B13" s="22" t="s">
        <v>56</v>
      </c>
      <c r="C13" s="22" t="s">
        <v>59</v>
      </c>
      <c r="E13" s="22" t="s">
        <v>58</v>
      </c>
      <c r="F13" s="15">
        <v>380000</v>
      </c>
      <c r="G13" s="22"/>
      <c r="H13" s="15"/>
      <c r="I13" s="17">
        <f>SUM(F6:F13)</f>
        <v>1316000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BB51-1EC6-4E9D-9330-8EC9D8BB20D8}">
  <dimension ref="A1:G9"/>
  <sheetViews>
    <sheetView workbookViewId="0">
      <selection activeCell="F3" sqref="F3:G9"/>
    </sheetView>
  </sheetViews>
  <sheetFormatPr defaultRowHeight="17.399999999999999" x14ac:dyDescent="0.4"/>
  <cols>
    <col min="1" max="1" width="23.8984375" customWidth="1"/>
    <col min="2" max="2" width="16.796875" customWidth="1"/>
    <col min="3" max="3" width="15.59765625" customWidth="1"/>
    <col min="6" max="6" width="25.09765625" customWidth="1"/>
    <col min="7" max="7" width="24.796875" customWidth="1"/>
  </cols>
  <sheetData>
    <row r="1" spans="1:7" x14ac:dyDescent="0.4">
      <c r="A1" s="27" t="s">
        <v>81</v>
      </c>
      <c r="B1" s="3" t="s">
        <v>82</v>
      </c>
      <c r="C1" s="20"/>
    </row>
    <row r="2" spans="1:7" x14ac:dyDescent="0.4">
      <c r="A2" s="27" t="s">
        <v>69</v>
      </c>
      <c r="B2" s="3" t="s">
        <v>82</v>
      </c>
      <c r="C2" s="20"/>
    </row>
    <row r="3" spans="1:7" x14ac:dyDescent="0.4">
      <c r="A3" s="27" t="s">
        <v>62</v>
      </c>
      <c r="B3" s="28" t="s">
        <v>63</v>
      </c>
      <c r="C3" s="27" t="s">
        <v>64</v>
      </c>
      <c r="F3" s="26"/>
      <c r="G3" s="26"/>
    </row>
    <row r="4" spans="1:7" ht="25.2" x14ac:dyDescent="0.4">
      <c r="A4" s="27" t="s">
        <v>65</v>
      </c>
      <c r="B4" s="28" t="s">
        <v>63</v>
      </c>
      <c r="C4" s="27" t="s">
        <v>66</v>
      </c>
      <c r="F4" s="26"/>
      <c r="G4" s="26"/>
    </row>
    <row r="5" spans="1:7" x14ac:dyDescent="0.4">
      <c r="A5" s="27" t="s">
        <v>84</v>
      </c>
      <c r="B5" s="28" t="s">
        <v>67</v>
      </c>
      <c r="C5" s="27" t="s">
        <v>68</v>
      </c>
      <c r="F5" s="26"/>
      <c r="G5" s="26"/>
    </row>
    <row r="6" spans="1:7" ht="25.2" x14ac:dyDescent="0.4">
      <c r="A6" s="27" t="s">
        <v>83</v>
      </c>
      <c r="B6" s="28" t="s">
        <v>70</v>
      </c>
      <c r="C6" s="27" t="s">
        <v>71</v>
      </c>
      <c r="F6" s="26"/>
      <c r="G6" s="26"/>
    </row>
    <row r="7" spans="1:7" x14ac:dyDescent="0.4">
      <c r="A7" s="27" t="s">
        <v>72</v>
      </c>
      <c r="B7" s="28" t="s">
        <v>73</v>
      </c>
      <c r="C7" s="27" t="s">
        <v>74</v>
      </c>
      <c r="F7" s="26"/>
      <c r="G7" s="26"/>
    </row>
    <row r="8" spans="1:7" x14ac:dyDescent="0.4">
      <c r="A8" s="27" t="s">
        <v>75</v>
      </c>
      <c r="B8" s="28" t="s">
        <v>76</v>
      </c>
      <c r="C8" s="27" t="s">
        <v>77</v>
      </c>
      <c r="F8" s="26"/>
      <c r="G8" s="26"/>
    </row>
    <row r="9" spans="1:7" ht="25.2" x14ac:dyDescent="0.4">
      <c r="A9" s="27" t="s">
        <v>78</v>
      </c>
      <c r="B9" s="28" t="s">
        <v>79</v>
      </c>
      <c r="C9" s="27" t="s">
        <v>80</v>
      </c>
      <c r="F9" s="26"/>
      <c r="G9" s="2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C44F-5B49-4A24-90C9-55A79899724F}">
  <dimension ref="A1:E17"/>
  <sheetViews>
    <sheetView workbookViewId="0">
      <selection activeCell="O7" sqref="O6:O7"/>
    </sheetView>
  </sheetViews>
  <sheetFormatPr defaultRowHeight="17.399999999999999" x14ac:dyDescent="0.4"/>
  <cols>
    <col min="1" max="1" width="12.19921875" customWidth="1"/>
    <col min="2" max="2" width="11.59765625" customWidth="1"/>
    <col min="3" max="3" width="24.296875" customWidth="1"/>
  </cols>
  <sheetData>
    <row r="1" spans="1:5" x14ac:dyDescent="0.4">
      <c r="A1" s="3">
        <v>45894</v>
      </c>
      <c r="B1" s="1" t="s">
        <v>7</v>
      </c>
      <c r="C1" s="1" t="s">
        <v>12</v>
      </c>
      <c r="D1" s="1" t="s">
        <v>8</v>
      </c>
      <c r="E1" s="1"/>
    </row>
    <row r="2" spans="1:5" ht="18" thickBot="1" x14ac:dyDescent="0.45">
      <c r="A2" s="6">
        <v>45895</v>
      </c>
      <c r="B2" s="7" t="s">
        <v>7</v>
      </c>
      <c r="C2" s="7" t="s">
        <v>12</v>
      </c>
      <c r="D2" s="7" t="s">
        <v>8</v>
      </c>
      <c r="E2" s="7"/>
    </row>
    <row r="3" spans="1:5" ht="18" thickTop="1" x14ac:dyDescent="0.4">
      <c r="A3" s="8">
        <v>45943</v>
      </c>
      <c r="B3" s="9" t="s">
        <v>11</v>
      </c>
      <c r="C3" s="9" t="s">
        <v>13</v>
      </c>
      <c r="D3" s="9" t="s">
        <v>14</v>
      </c>
      <c r="E3" s="9"/>
    </row>
    <row r="4" spans="1:5" x14ac:dyDescent="0.4">
      <c r="A4" s="3">
        <v>45950</v>
      </c>
      <c r="B4" s="1" t="s">
        <v>11</v>
      </c>
      <c r="C4" s="1" t="s">
        <v>13</v>
      </c>
      <c r="D4" s="1" t="s">
        <v>14</v>
      </c>
      <c r="E4" s="1"/>
    </row>
    <row r="5" spans="1:5" ht="18" thickBot="1" x14ac:dyDescent="0.45">
      <c r="A5" s="6">
        <v>45957</v>
      </c>
      <c r="B5" s="7" t="s">
        <v>11</v>
      </c>
      <c r="C5" s="7" t="s">
        <v>13</v>
      </c>
      <c r="D5" s="7" t="s">
        <v>14</v>
      </c>
      <c r="E5" s="7"/>
    </row>
    <row r="6" spans="1:5" ht="18" thickTop="1" x14ac:dyDescent="0.4">
      <c r="A6" s="3">
        <v>45980</v>
      </c>
      <c r="B6" s="1" t="s">
        <v>24</v>
      </c>
      <c r="C6" s="1" t="s">
        <v>12</v>
      </c>
      <c r="D6" s="1" t="s">
        <v>26</v>
      </c>
    </row>
    <row r="7" spans="1:5" x14ac:dyDescent="0.4">
      <c r="A7" s="3">
        <v>45981</v>
      </c>
      <c r="B7" s="1" t="s">
        <v>24</v>
      </c>
      <c r="C7" s="1" t="s">
        <v>12</v>
      </c>
      <c r="D7" s="1" t="s">
        <v>26</v>
      </c>
    </row>
    <row r="8" spans="1:5" x14ac:dyDescent="0.4">
      <c r="A8" s="3">
        <v>46003</v>
      </c>
      <c r="B8" s="1" t="s">
        <v>35</v>
      </c>
      <c r="C8" s="1" t="s">
        <v>36</v>
      </c>
      <c r="D8" s="1" t="s">
        <v>8</v>
      </c>
    </row>
    <row r="9" spans="1:5" x14ac:dyDescent="0.4">
      <c r="A9" s="3">
        <v>46006</v>
      </c>
      <c r="B9" s="1" t="s">
        <v>50</v>
      </c>
      <c r="C9" s="1" t="s">
        <v>39</v>
      </c>
      <c r="D9" s="1" t="s">
        <v>8</v>
      </c>
    </row>
    <row r="10" spans="1:5" x14ac:dyDescent="0.4">
      <c r="A10" s="3">
        <v>46007</v>
      </c>
      <c r="B10" s="1" t="s">
        <v>37</v>
      </c>
      <c r="C10" s="1" t="s">
        <v>39</v>
      </c>
      <c r="D10" s="1" t="s">
        <v>26</v>
      </c>
    </row>
    <row r="11" spans="1:5" x14ac:dyDescent="0.4">
      <c r="A11" s="3">
        <v>46009</v>
      </c>
      <c r="B11" s="1" t="s">
        <v>38</v>
      </c>
      <c r="C11" s="1" t="s">
        <v>36</v>
      </c>
      <c r="D11" s="1" t="s">
        <v>8</v>
      </c>
    </row>
    <row r="12" spans="1:5" x14ac:dyDescent="0.4">
      <c r="A12" s="3">
        <v>46013</v>
      </c>
      <c r="B12" s="1" t="s">
        <v>40</v>
      </c>
      <c r="C12" s="1" t="s">
        <v>41</v>
      </c>
      <c r="D12" s="1" t="s">
        <v>26</v>
      </c>
    </row>
    <row r="13" spans="1:5" x14ac:dyDescent="0.4">
      <c r="A13" s="3">
        <v>46014</v>
      </c>
      <c r="B13" s="1" t="s">
        <v>40</v>
      </c>
      <c r="C13" s="1" t="s">
        <v>41</v>
      </c>
      <c r="D13" s="1" t="s">
        <v>26</v>
      </c>
    </row>
    <row r="14" spans="1:5" x14ac:dyDescent="0.4">
      <c r="A14" s="3">
        <v>46015</v>
      </c>
      <c r="B14" s="1" t="s">
        <v>48</v>
      </c>
      <c r="C14" s="1" t="s">
        <v>49</v>
      </c>
      <c r="D14" s="1" t="s">
        <v>26</v>
      </c>
    </row>
    <row r="15" spans="1:5" x14ac:dyDescent="0.4">
      <c r="A15" s="3">
        <v>46017</v>
      </c>
      <c r="B15" s="1" t="s">
        <v>42</v>
      </c>
      <c r="C15" s="1" t="s">
        <v>43</v>
      </c>
      <c r="D15" s="1" t="s">
        <v>8</v>
      </c>
    </row>
    <row r="16" spans="1:5" x14ac:dyDescent="0.4">
      <c r="A16" s="3">
        <v>46020</v>
      </c>
      <c r="B16" s="1" t="s">
        <v>44</v>
      </c>
      <c r="C16" s="1" t="s">
        <v>45</v>
      </c>
      <c r="D16" s="1" t="s">
        <v>26</v>
      </c>
    </row>
    <row r="17" spans="1:4" x14ac:dyDescent="0.4">
      <c r="A17" s="3">
        <v>46021</v>
      </c>
      <c r="B17" s="1" t="s">
        <v>46</v>
      </c>
      <c r="C17" s="1" t="s">
        <v>47</v>
      </c>
      <c r="D17" s="1" t="s">
        <v>21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2025</vt:lpstr>
      <vt:lpstr>2026</vt:lpstr>
      <vt:lpstr>자격증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태경 김</cp:lastModifiedBy>
  <cp:lastPrinted>2026-03-30T12:16:46Z</cp:lastPrinted>
  <dcterms:created xsi:type="dcterms:W3CDTF">2025-11-11T10:43:42Z</dcterms:created>
  <dcterms:modified xsi:type="dcterms:W3CDTF">2026-05-27T06:09:32Z</dcterms:modified>
</cp:coreProperties>
</file>